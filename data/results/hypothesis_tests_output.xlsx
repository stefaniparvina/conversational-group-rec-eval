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3119cfcffe101ac/Documents/Thesis/Thesis folder/conversational-group-rec-eval/data/results/"/>
    </mc:Choice>
  </mc:AlternateContent>
  <xr:revisionPtr revIDLastSave="17" documentId="11_ECB39301757162F4E894E1DF0733D727BADB728F" xr6:coauthVersionLast="47" xr6:coauthVersionMax="47" xr10:uidLastSave="{B66416E2-0FBE-4838-B005-612A8CF7459E}"/>
  <bookViews>
    <workbookView xWindow="-108" yWindow="-108" windowWidth="23256" windowHeight="13896" firstSheet="1" activeTab="5" xr2:uid="{00000000-000D-0000-FFFF-FFFF00000000}"/>
  </bookViews>
  <sheets>
    <sheet name="H1 Distribution Diagnostic" sheetId="1" r:id="rId1"/>
    <sheet name="H1 Welfare Gap" sheetId="2" r:id="rId2"/>
    <sheet name="H2a Kruskal-Wallis" sheetId="3" r:id="rId3"/>
    <sheet name="H2a Pairwise MWU" sheetId="4" r:id="rId4"/>
    <sheet name="H2b MajMinGap" sheetId="5" r:id="rId5"/>
    <sheet name="H3 Subset" sheetId="6" r:id="rId6"/>
    <sheet name="H4 Big Five" sheetId="7" r:id="rId7"/>
    <sheet name="H4 Tone (Supplementary)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6" l="1"/>
  <c r="E4" i="6"/>
  <c r="E3" i="6"/>
  <c r="E2" i="6"/>
</calcChain>
</file>

<file path=xl/sharedStrings.xml><?xml version="1.0" encoding="utf-8"?>
<sst xmlns="http://schemas.openxmlformats.org/spreadsheetml/2006/main" count="107" uniqueCount="63">
  <si>
    <t>value</t>
  </si>
  <si>
    <t>skewness</t>
  </si>
  <si>
    <t>excess_kurtosis</t>
  </si>
  <si>
    <t>pct_gaps_zero</t>
  </si>
  <si>
    <t>pct_gaps_below_zero</t>
  </si>
  <si>
    <t>pct_gaps_above_zero</t>
  </si>
  <si>
    <t>min_gap</t>
  </si>
  <si>
    <t>max_gap</t>
  </si>
  <si>
    <t>scope</t>
  </si>
  <si>
    <t>n</t>
  </si>
  <si>
    <t>mean</t>
  </si>
  <si>
    <t>median</t>
  </si>
  <si>
    <t>std</t>
  </si>
  <si>
    <t>wilcoxon_W</t>
  </si>
  <si>
    <t>p_value</t>
  </si>
  <si>
    <t>r_rank_biserial</t>
  </si>
  <si>
    <t>supported</t>
  </si>
  <si>
    <t>OVERALL</t>
  </si>
  <si>
    <t>uniform</t>
  </si>
  <si>
    <t>divergent</t>
  </si>
  <si>
    <t>coalitional</t>
  </si>
  <si>
    <t>minority</t>
  </si>
  <si>
    <t>config</t>
  </si>
  <si>
    <t>mean_min_sat</t>
  </si>
  <si>
    <t>median_min_sat</t>
  </si>
  <si>
    <t>OMNIBUS_N</t>
  </si>
  <si>
    <t>H_statistic</t>
  </si>
  <si>
    <t>epsilon_sq</t>
  </si>
  <si>
    <t>config_A</t>
  </si>
  <si>
    <t>config_B</t>
  </si>
  <si>
    <t>nA</t>
  </si>
  <si>
    <t>nB</t>
  </si>
  <si>
    <t>U_statistic</t>
  </si>
  <si>
    <t>p_raw</t>
  </si>
  <si>
    <t>p_holm</t>
  </si>
  <si>
    <t>effect_size</t>
  </si>
  <si>
    <t>significant_holm</t>
  </si>
  <si>
    <t>large</t>
  </si>
  <si>
    <t>negligible</t>
  </si>
  <si>
    <t>small</t>
  </si>
  <si>
    <t>n_nonzero</t>
  </si>
  <si>
    <t>n_in_h3_subset</t>
  </si>
  <si>
    <t>n_total_consensus</t>
  </si>
  <si>
    <t>pct_of_config_in_h3</t>
  </si>
  <si>
    <t>TOTAL</t>
  </si>
  <si>
    <t>trait</t>
  </si>
  <si>
    <t>pearson_r</t>
  </si>
  <si>
    <t>abs_r</t>
  </si>
  <si>
    <t>within_bound_neg_005</t>
  </si>
  <si>
    <t>focus_note</t>
  </si>
  <si>
    <t>agreeableness</t>
  </si>
  <si>
    <t>primary focus (Barile 2024)</t>
  </si>
  <si>
    <t>neuroticism</t>
  </si>
  <si>
    <t>primary focus (= reversed Emotional Stability)</t>
  </si>
  <si>
    <t>openness</t>
  </si>
  <si>
    <t>conscientiousness</t>
  </si>
  <si>
    <t>extraversion</t>
  </si>
  <si>
    <t>RESULT</t>
  </si>
  <si>
    <t>H4 SUPPORTED</t>
  </si>
  <si>
    <t>n_tone_categories</t>
  </si>
  <si>
    <t>n_observations</t>
  </si>
  <si>
    <t>mean_iss_tone_min</t>
  </si>
  <si>
    <t>mean_iss_tone_max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</si>
</sst>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/>
  </sheetViews>
  <sheetFormatPr defaultRowHeight="14.4" x14ac:dyDescent="0.3"/>
  <sheetData>
    <row r="1" spans="1:2" x14ac:dyDescent="0.3">
      <c r="B1" s="1" t="s">
        <v>0</v>
      </c>
    </row>
    <row r="2" spans="1:2" x14ac:dyDescent="0.3">
      <c r="A2" s="1" t="s">
        <v>1</v>
      </c>
      <c r="B2">
        <v>-2.4140000000000001</v>
      </c>
    </row>
    <row r="3" spans="1:2" x14ac:dyDescent="0.3">
      <c r="A3" s="1" t="s">
        <v>2</v>
      </c>
      <c r="B3">
        <v>8.5440000000000005</v>
      </c>
    </row>
    <row r="4" spans="1:2" x14ac:dyDescent="0.3">
      <c r="A4" s="1" t="s">
        <v>3</v>
      </c>
      <c r="B4">
        <v>38.200000000000003</v>
      </c>
    </row>
    <row r="5" spans="1:2" x14ac:dyDescent="0.3">
      <c r="A5" s="1" t="s">
        <v>4</v>
      </c>
      <c r="B5">
        <v>61.3</v>
      </c>
    </row>
    <row r="6" spans="1:2" x14ac:dyDescent="0.3">
      <c r="A6" s="1" t="s">
        <v>5</v>
      </c>
      <c r="B6">
        <v>0.4</v>
      </c>
    </row>
    <row r="7" spans="1:2" x14ac:dyDescent="0.3">
      <c r="A7" s="1" t="s">
        <v>6</v>
      </c>
      <c r="B7">
        <v>-0.96879999999999999</v>
      </c>
    </row>
    <row r="8" spans="1:2" x14ac:dyDescent="0.3">
      <c r="A8" s="1" t="s">
        <v>7</v>
      </c>
      <c r="B8">
        <v>5.0900000000000001E-2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/>
  </sheetViews>
  <sheetFormatPr defaultRowHeight="14.4" x14ac:dyDescent="0.3"/>
  <sheetData>
    <row r="1" spans="1:9" x14ac:dyDescent="0.3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</row>
    <row r="2" spans="1:9" x14ac:dyDescent="0.3">
      <c r="A2" s="1" t="s">
        <v>17</v>
      </c>
      <c r="B2">
        <v>7725</v>
      </c>
      <c r="C2">
        <v>-9.69E-2</v>
      </c>
      <c r="D2">
        <v>-0.05</v>
      </c>
      <c r="E2">
        <v>0.1331</v>
      </c>
      <c r="F2">
        <v>6991</v>
      </c>
      <c r="G2">
        <v>0</v>
      </c>
      <c r="H2">
        <v>-0.999</v>
      </c>
      <c r="I2" t="b">
        <v>1</v>
      </c>
    </row>
    <row r="3" spans="1:9" x14ac:dyDescent="0.3">
      <c r="A3" s="1" t="s">
        <v>18</v>
      </c>
      <c r="B3">
        <v>2438</v>
      </c>
      <c r="C3">
        <v>-7.8299999999999995E-2</v>
      </c>
      <c r="D3">
        <v>0</v>
      </c>
      <c r="E3">
        <v>0.14119999999999999</v>
      </c>
      <c r="F3">
        <v>347.5</v>
      </c>
      <c r="G3">
        <v>7.4248017804921351E-184</v>
      </c>
      <c r="H3">
        <v>-0.999</v>
      </c>
      <c r="I3" t="b">
        <v>1</v>
      </c>
    </row>
    <row r="4" spans="1:9" x14ac:dyDescent="0.3">
      <c r="A4" s="1" t="s">
        <v>19</v>
      </c>
      <c r="B4">
        <v>2370</v>
      </c>
      <c r="C4">
        <v>-0.1061</v>
      </c>
      <c r="D4">
        <v>-8.2000000000000003E-2</v>
      </c>
      <c r="E4">
        <v>0.1159</v>
      </c>
      <c r="F4">
        <v>883.5</v>
      </c>
      <c r="G4">
        <v>3.2841075824115012E-283</v>
      </c>
      <c r="H4">
        <v>-0.999</v>
      </c>
      <c r="I4" t="b">
        <v>1</v>
      </c>
    </row>
    <row r="5" spans="1:9" x14ac:dyDescent="0.3">
      <c r="A5" s="1" t="s">
        <v>20</v>
      </c>
      <c r="B5">
        <v>1453</v>
      </c>
      <c r="C5">
        <v>-0.1172</v>
      </c>
      <c r="D5">
        <v>-9.5500000000000002E-2</v>
      </c>
      <c r="E5">
        <v>0.12479999999999999</v>
      </c>
      <c r="F5">
        <v>173</v>
      </c>
      <c r="G5">
        <v>1.4447461230641821E-183</v>
      </c>
      <c r="H5">
        <v>-0.999</v>
      </c>
      <c r="I5" t="b">
        <v>1</v>
      </c>
    </row>
    <row r="6" spans="1:9" x14ac:dyDescent="0.3">
      <c r="A6" s="1" t="s">
        <v>21</v>
      </c>
      <c r="B6">
        <v>1464</v>
      </c>
      <c r="C6">
        <v>-9.2700000000000005E-2</v>
      </c>
      <c r="D6">
        <v>-2.5000000000000001E-2</v>
      </c>
      <c r="E6">
        <v>0.14810000000000001</v>
      </c>
      <c r="F6">
        <v>421</v>
      </c>
      <c r="G6">
        <v>3.7586452139052468E-135</v>
      </c>
      <c r="H6">
        <v>-0.997</v>
      </c>
      <c r="I6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defaultRowHeight="14.4" x14ac:dyDescent="0.3"/>
  <sheetData>
    <row r="1" spans="1:4" x14ac:dyDescent="0.3">
      <c r="A1" s="1" t="s">
        <v>22</v>
      </c>
      <c r="B1" s="1" t="s">
        <v>9</v>
      </c>
      <c r="C1" s="1" t="s">
        <v>23</v>
      </c>
      <c r="D1" s="1" t="s">
        <v>24</v>
      </c>
    </row>
    <row r="2" spans="1:4" x14ac:dyDescent="0.3">
      <c r="A2" s="1" t="s">
        <v>18</v>
      </c>
      <c r="B2">
        <v>2438</v>
      </c>
      <c r="C2">
        <v>0.60040000000000004</v>
      </c>
      <c r="D2">
        <v>0.6</v>
      </c>
    </row>
    <row r="3" spans="1:4" x14ac:dyDescent="0.3">
      <c r="A3" s="1" t="s">
        <v>19</v>
      </c>
      <c r="B3">
        <v>2370</v>
      </c>
      <c r="C3">
        <v>0.23960000000000001</v>
      </c>
      <c r="D3">
        <v>0.1</v>
      </c>
    </row>
    <row r="4" spans="1:4" x14ac:dyDescent="0.3">
      <c r="A4" s="1" t="s">
        <v>20</v>
      </c>
      <c r="B4">
        <v>1453</v>
      </c>
      <c r="C4">
        <v>0.184</v>
      </c>
      <c r="D4">
        <v>0.1111</v>
      </c>
    </row>
    <row r="5" spans="1:4" x14ac:dyDescent="0.3">
      <c r="A5" s="1" t="s">
        <v>21</v>
      </c>
      <c r="B5">
        <v>1464</v>
      </c>
      <c r="C5">
        <v>0.23430000000000001</v>
      </c>
      <c r="D5">
        <v>0.125</v>
      </c>
    </row>
    <row r="6" spans="1:4" x14ac:dyDescent="0.3">
      <c r="A6" s="1" t="s">
        <v>25</v>
      </c>
      <c r="B6">
        <v>7725</v>
      </c>
    </row>
    <row r="7" spans="1:4" x14ac:dyDescent="0.3">
      <c r="A7" s="1" t="s">
        <v>26</v>
      </c>
      <c r="B7">
        <v>2928.1419999999998</v>
      </c>
    </row>
    <row r="8" spans="1:4" x14ac:dyDescent="0.3">
      <c r="A8" s="1" t="s">
        <v>14</v>
      </c>
      <c r="B8">
        <v>0</v>
      </c>
    </row>
    <row r="9" spans="1:4" x14ac:dyDescent="0.3">
      <c r="A9" s="1" t="s">
        <v>27</v>
      </c>
      <c r="B9">
        <v>0.37909999999999999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7"/>
  <sheetViews>
    <sheetView workbookViewId="0"/>
  </sheetViews>
  <sheetFormatPr defaultRowHeight="14.4" x14ac:dyDescent="0.3"/>
  <sheetData>
    <row r="1" spans="1:11" x14ac:dyDescent="0.3"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15</v>
      </c>
      <c r="J1" s="1" t="s">
        <v>35</v>
      </c>
      <c r="K1" s="1" t="s">
        <v>36</v>
      </c>
    </row>
    <row r="2" spans="1:11" x14ac:dyDescent="0.3">
      <c r="A2" s="1">
        <v>0</v>
      </c>
      <c r="B2" t="s">
        <v>18</v>
      </c>
      <c r="C2" t="s">
        <v>19</v>
      </c>
      <c r="D2">
        <v>2438</v>
      </c>
      <c r="E2">
        <v>2370</v>
      </c>
      <c r="F2">
        <v>4925981</v>
      </c>
      <c r="G2">
        <v>0</v>
      </c>
      <c r="H2">
        <v>0</v>
      </c>
      <c r="I2">
        <v>-0.70499999999999996</v>
      </c>
      <c r="J2" t="s">
        <v>37</v>
      </c>
      <c r="K2" t="b">
        <v>1</v>
      </c>
    </row>
    <row r="3" spans="1:11" x14ac:dyDescent="0.3">
      <c r="A3" s="1">
        <v>1</v>
      </c>
      <c r="B3" t="s">
        <v>18</v>
      </c>
      <c r="C3" t="s">
        <v>20</v>
      </c>
      <c r="D3">
        <v>2438</v>
      </c>
      <c r="E3">
        <v>1453</v>
      </c>
      <c r="F3">
        <v>3224158</v>
      </c>
      <c r="G3">
        <v>0</v>
      </c>
      <c r="H3">
        <v>0</v>
      </c>
      <c r="I3">
        <v>-0.82</v>
      </c>
      <c r="J3" t="s">
        <v>37</v>
      </c>
      <c r="K3" t="b">
        <v>1</v>
      </c>
    </row>
    <row r="4" spans="1:11" x14ac:dyDescent="0.3">
      <c r="A4" s="1">
        <v>2</v>
      </c>
      <c r="B4" t="s">
        <v>18</v>
      </c>
      <c r="C4" t="s">
        <v>21</v>
      </c>
      <c r="D4">
        <v>2438</v>
      </c>
      <c r="E4">
        <v>1464</v>
      </c>
      <c r="F4">
        <v>3106321</v>
      </c>
      <c r="G4">
        <v>0</v>
      </c>
      <c r="H4">
        <v>0</v>
      </c>
      <c r="I4">
        <v>-0.74099999999999999</v>
      </c>
      <c r="J4" t="s">
        <v>37</v>
      </c>
      <c r="K4" t="b">
        <v>1</v>
      </c>
    </row>
    <row r="5" spans="1:11" x14ac:dyDescent="0.3">
      <c r="A5" s="1">
        <v>3</v>
      </c>
      <c r="B5" t="s">
        <v>19</v>
      </c>
      <c r="C5" t="s">
        <v>20</v>
      </c>
      <c r="D5">
        <v>2370</v>
      </c>
      <c r="E5">
        <v>1453</v>
      </c>
      <c r="F5">
        <v>1791076.5</v>
      </c>
      <c r="G5">
        <v>2.5189844581923651E-2</v>
      </c>
      <c r="H5">
        <v>2.5189844581923651E-2</v>
      </c>
      <c r="I5">
        <v>-0.04</v>
      </c>
      <c r="J5" t="s">
        <v>38</v>
      </c>
      <c r="K5" t="b">
        <v>1</v>
      </c>
    </row>
    <row r="6" spans="1:11" x14ac:dyDescent="0.3">
      <c r="A6" s="1">
        <v>4</v>
      </c>
      <c r="B6" t="s">
        <v>19</v>
      </c>
      <c r="C6" t="s">
        <v>21</v>
      </c>
      <c r="D6">
        <v>2370</v>
      </c>
      <c r="E6">
        <v>1464</v>
      </c>
      <c r="F6">
        <v>1613808</v>
      </c>
      <c r="G6">
        <v>1.19482993402634E-4</v>
      </c>
      <c r="H6">
        <v>2.389659868052679E-4</v>
      </c>
      <c r="I6">
        <v>7.0000000000000007E-2</v>
      </c>
      <c r="J6" t="s">
        <v>38</v>
      </c>
      <c r="K6" t="b">
        <v>1</v>
      </c>
    </row>
    <row r="7" spans="1:11" x14ac:dyDescent="0.3">
      <c r="A7" s="1">
        <v>5</v>
      </c>
      <c r="B7" t="s">
        <v>20</v>
      </c>
      <c r="C7" t="s">
        <v>21</v>
      </c>
      <c r="D7">
        <v>1453</v>
      </c>
      <c r="E7">
        <v>1464</v>
      </c>
      <c r="F7">
        <v>919507.5</v>
      </c>
      <c r="G7">
        <v>3.1421297547518013E-11</v>
      </c>
      <c r="H7">
        <v>9.4263892642554046E-11</v>
      </c>
      <c r="I7">
        <v>0.13500000000000001</v>
      </c>
      <c r="J7" t="s">
        <v>39</v>
      </c>
      <c r="K7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workbookViewId="0"/>
  </sheetViews>
  <sheetFormatPr defaultRowHeight="14.4" x14ac:dyDescent="0.3"/>
  <sheetData>
    <row r="1" spans="1:8" x14ac:dyDescent="0.3">
      <c r="A1" s="1" t="s">
        <v>22</v>
      </c>
      <c r="B1" s="1" t="s">
        <v>40</v>
      </c>
      <c r="C1" s="1" t="s">
        <v>10</v>
      </c>
      <c r="D1" s="1" t="s">
        <v>11</v>
      </c>
      <c r="E1" s="1" t="s">
        <v>13</v>
      </c>
      <c r="F1" s="1" t="s">
        <v>14</v>
      </c>
      <c r="G1" s="1" t="s">
        <v>15</v>
      </c>
      <c r="H1" s="1" t="s">
        <v>16</v>
      </c>
    </row>
    <row r="2" spans="1:8" x14ac:dyDescent="0.3">
      <c r="A2" s="1" t="s">
        <v>18</v>
      </c>
      <c r="B2">
        <v>1107</v>
      </c>
      <c r="C2">
        <v>0.193</v>
      </c>
      <c r="D2">
        <v>0.19839999999999999</v>
      </c>
      <c r="E2">
        <v>560210</v>
      </c>
      <c r="F2">
        <v>7.6283012590407146E-126</v>
      </c>
      <c r="G2">
        <v>0.82699999999999996</v>
      </c>
      <c r="H2" t="b">
        <v>1</v>
      </c>
    </row>
    <row r="3" spans="1:8" x14ac:dyDescent="0.3">
      <c r="A3" s="1" t="s">
        <v>19</v>
      </c>
      <c r="B3">
        <v>1148</v>
      </c>
      <c r="C3">
        <v>0.2737</v>
      </c>
      <c r="D3">
        <v>0.31759999999999999</v>
      </c>
      <c r="E3">
        <v>583920.5</v>
      </c>
      <c r="F3">
        <v>1.3681650542311799E-113</v>
      </c>
      <c r="G3">
        <v>0.77100000000000002</v>
      </c>
      <c r="H3" t="b">
        <v>1</v>
      </c>
    </row>
    <row r="4" spans="1:8" x14ac:dyDescent="0.3">
      <c r="A4" s="1" t="s">
        <v>20</v>
      </c>
      <c r="B4">
        <v>1129</v>
      </c>
      <c r="C4">
        <v>0.2606</v>
      </c>
      <c r="D4">
        <v>0.30980000000000002</v>
      </c>
      <c r="E4">
        <v>550344.5</v>
      </c>
      <c r="F4">
        <v>2.7848638542762551E-99</v>
      </c>
      <c r="G4">
        <v>0.72599999999999998</v>
      </c>
      <c r="H4" t="b">
        <v>1</v>
      </c>
    </row>
    <row r="5" spans="1:8" x14ac:dyDescent="0.3">
      <c r="A5" s="1" t="s">
        <v>21</v>
      </c>
      <c r="B5">
        <v>1149</v>
      </c>
      <c r="C5">
        <v>0.24690000000000001</v>
      </c>
      <c r="D5">
        <v>0.23810000000000001</v>
      </c>
      <c r="E5">
        <v>578439.5</v>
      </c>
      <c r="F5">
        <v>4.5173811287405712E-108</v>
      </c>
      <c r="G5">
        <v>0.751</v>
      </c>
      <c r="H5" t="b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"/>
  <sheetViews>
    <sheetView tabSelected="1" workbookViewId="0">
      <selection activeCell="E1" sqref="E1"/>
    </sheetView>
  </sheetViews>
  <sheetFormatPr defaultRowHeight="14.4" x14ac:dyDescent="0.3"/>
  <cols>
    <col min="2" max="2" width="21.5546875" customWidth="1"/>
    <col min="3" max="3" width="19.109375" customWidth="1"/>
    <col min="4" max="4" width="22.77734375" customWidth="1"/>
  </cols>
  <sheetData>
    <row r="1" spans="1:5" x14ac:dyDescent="0.3">
      <c r="A1" s="1" t="s">
        <v>22</v>
      </c>
      <c r="B1" s="1" t="s">
        <v>41</v>
      </c>
      <c r="C1" s="1" t="s">
        <v>42</v>
      </c>
      <c r="D1" s="1" t="s">
        <v>43</v>
      </c>
    </row>
    <row r="2" spans="1:5" x14ac:dyDescent="0.3">
      <c r="A2" s="1" t="s">
        <v>18</v>
      </c>
      <c r="B2">
        <v>62</v>
      </c>
      <c r="C2">
        <v>2438</v>
      </c>
      <c r="D2">
        <v>2.5</v>
      </c>
      <c r="E2" s="3">
        <f>B2/B6</f>
        <v>4.5058139534883718E-2</v>
      </c>
    </row>
    <row r="3" spans="1:5" x14ac:dyDescent="0.3">
      <c r="A3" s="1" t="s">
        <v>19</v>
      </c>
      <c r="B3">
        <v>530</v>
      </c>
      <c r="C3">
        <v>2370</v>
      </c>
      <c r="D3">
        <v>22.4</v>
      </c>
      <c r="E3" s="3">
        <f>B3/B6</f>
        <v>0.38517441860465118</v>
      </c>
    </row>
    <row r="4" spans="1:5" x14ac:dyDescent="0.3">
      <c r="A4" s="1" t="s">
        <v>20</v>
      </c>
      <c r="B4">
        <v>472</v>
      </c>
      <c r="C4">
        <v>1453</v>
      </c>
      <c r="D4">
        <v>32.5</v>
      </c>
      <c r="E4" s="3">
        <f>B4/B6</f>
        <v>0.34302325581395349</v>
      </c>
    </row>
    <row r="5" spans="1:5" x14ac:dyDescent="0.3">
      <c r="A5" s="1" t="s">
        <v>21</v>
      </c>
      <c r="B5">
        <v>312</v>
      </c>
      <c r="C5">
        <v>1464</v>
      </c>
      <c r="D5">
        <v>21.3</v>
      </c>
      <c r="E5" s="3">
        <f>B5/B6</f>
        <v>0.22674418604651161</v>
      </c>
    </row>
    <row r="6" spans="1:5" x14ac:dyDescent="0.3">
      <c r="A6" s="1" t="s">
        <v>44</v>
      </c>
      <c r="B6">
        <v>1376</v>
      </c>
      <c r="C6">
        <v>7725</v>
      </c>
      <c r="D6">
        <v>17.8</v>
      </c>
      <c r="E6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workbookViewId="0"/>
  </sheetViews>
  <sheetFormatPr defaultRowHeight="14.4" x14ac:dyDescent="0.3"/>
  <sheetData>
    <row r="1" spans="1:7" x14ac:dyDescent="0.3">
      <c r="A1" s="1" t="s">
        <v>45</v>
      </c>
      <c r="B1" s="1" t="s">
        <v>9</v>
      </c>
      <c r="C1" s="1" t="s">
        <v>46</v>
      </c>
      <c r="D1" s="1" t="s">
        <v>47</v>
      </c>
      <c r="E1" s="1" t="s">
        <v>14</v>
      </c>
      <c r="F1" s="1" t="s">
        <v>48</v>
      </c>
      <c r="G1" s="1" t="s">
        <v>49</v>
      </c>
    </row>
    <row r="2" spans="1:7" x14ac:dyDescent="0.3">
      <c r="A2" s="1" t="s">
        <v>50</v>
      </c>
      <c r="B2">
        <v>38704</v>
      </c>
      <c r="C2">
        <v>-5.7999999999999996E-3</v>
      </c>
      <c r="D2">
        <v>5.7999999999999996E-3</v>
      </c>
      <c r="E2">
        <v>0.25289702366841382</v>
      </c>
      <c r="F2" t="b">
        <v>1</v>
      </c>
      <c r="G2" t="s">
        <v>51</v>
      </c>
    </row>
    <row r="3" spans="1:7" x14ac:dyDescent="0.3">
      <c r="A3" s="1" t="s">
        <v>52</v>
      </c>
      <c r="B3">
        <v>38704</v>
      </c>
      <c r="C3">
        <v>-4.0000000000000002E-4</v>
      </c>
      <c r="D3">
        <v>4.0000000000000002E-4</v>
      </c>
      <c r="E3">
        <v>0.93878274982233945</v>
      </c>
      <c r="F3" t="b">
        <v>1</v>
      </c>
      <c r="G3" t="s">
        <v>53</v>
      </c>
    </row>
    <row r="4" spans="1:7" x14ac:dyDescent="0.3">
      <c r="A4" s="1" t="s">
        <v>54</v>
      </c>
      <c r="B4">
        <v>38704</v>
      </c>
      <c r="C4">
        <v>-7.7000000000000002E-3</v>
      </c>
      <c r="D4">
        <v>7.7000000000000002E-3</v>
      </c>
      <c r="E4">
        <v>0.1319478788756214</v>
      </c>
      <c r="F4" t="b">
        <v>1</v>
      </c>
    </row>
    <row r="5" spans="1:7" x14ac:dyDescent="0.3">
      <c r="A5" s="1" t="s">
        <v>55</v>
      </c>
      <c r="B5">
        <v>38704</v>
      </c>
      <c r="C5">
        <v>1.6899999999999998E-2</v>
      </c>
      <c r="D5">
        <v>1.6899999999999998E-2</v>
      </c>
      <c r="E5">
        <v>8.9627799835076394E-4</v>
      </c>
      <c r="F5" t="b">
        <v>1</v>
      </c>
    </row>
    <row r="6" spans="1:7" x14ac:dyDescent="0.3">
      <c r="A6" s="1" t="s">
        <v>56</v>
      </c>
      <c r="B6">
        <v>38704</v>
      </c>
      <c r="C6">
        <v>3.5999999999999999E-3</v>
      </c>
      <c r="D6">
        <v>3.5999999999999999E-3</v>
      </c>
      <c r="E6">
        <v>0.47711493907127628</v>
      </c>
      <c r="F6" t="b">
        <v>1</v>
      </c>
    </row>
    <row r="7" spans="1:7" x14ac:dyDescent="0.3">
      <c r="A7" s="1" t="s">
        <v>57</v>
      </c>
      <c r="B7">
        <v>38704</v>
      </c>
      <c r="F7" t="b">
        <v>1</v>
      </c>
      <c r="G7" t="s">
        <v>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8"/>
  <sheetViews>
    <sheetView workbookViewId="0"/>
  </sheetViews>
  <sheetFormatPr defaultRowHeight="14.4" x14ac:dyDescent="0.3"/>
  <sheetData>
    <row r="1" spans="1:2" x14ac:dyDescent="0.3">
      <c r="B1" s="1" t="s">
        <v>0</v>
      </c>
    </row>
    <row r="2" spans="1:2" x14ac:dyDescent="0.3">
      <c r="A2" s="1" t="s">
        <v>59</v>
      </c>
      <c r="B2">
        <v>20</v>
      </c>
    </row>
    <row r="3" spans="1:2" x14ac:dyDescent="0.3">
      <c r="A3" s="1" t="s">
        <v>60</v>
      </c>
      <c r="B3">
        <v>38704</v>
      </c>
    </row>
    <row r="4" spans="1:2" x14ac:dyDescent="0.3">
      <c r="A4" s="1" t="s">
        <v>61</v>
      </c>
      <c r="B4">
        <v>0.65300000000000002</v>
      </c>
    </row>
    <row r="5" spans="1:2" x14ac:dyDescent="0.3">
      <c r="A5" s="1" t="s">
        <v>62</v>
      </c>
      <c r="B5">
        <v>0.68100000000000005</v>
      </c>
    </row>
    <row r="6" spans="1:2" x14ac:dyDescent="0.3">
      <c r="A6" s="1" t="s">
        <v>26</v>
      </c>
      <c r="B6">
        <v>23.893999999999998</v>
      </c>
    </row>
    <row r="7" spans="1:2" x14ac:dyDescent="0.3">
      <c r="A7" s="1" t="s">
        <v>14</v>
      </c>
      <c r="B7">
        <v>0.20026065177140809</v>
      </c>
    </row>
    <row r="8" spans="1:2" x14ac:dyDescent="0.3">
      <c r="A8" s="1" t="s">
        <v>27</v>
      </c>
      <c r="B8">
        <v>5.9999999999999995E-4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H1 Distribution Diagnostic</vt:lpstr>
      <vt:lpstr>H1 Welfare Gap</vt:lpstr>
      <vt:lpstr>H2a Kruskal-Wallis</vt:lpstr>
      <vt:lpstr>H2a Pairwise MWU</vt:lpstr>
      <vt:lpstr>H2b MajMinGap</vt:lpstr>
      <vt:lpstr>H3 Subset</vt:lpstr>
      <vt:lpstr>H4 Big Five</vt:lpstr>
      <vt:lpstr>H4 Tone (Supplementary)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Stefani Parvina</cp:lastModifiedBy>
  <dcterms:created xsi:type="dcterms:W3CDTF">2026-05-20T12:20:14Z</dcterms:created>
  <dcterms:modified xsi:type="dcterms:W3CDTF">2026-05-21T21:41:38Z</dcterms:modified>
</cp:coreProperties>
</file>